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990FF7C8-BB6E-4EDF-8E4F-A6A3F392600A}" xr6:coauthVersionLast="47" xr6:coauthVersionMax="47" xr10:uidLastSave="{00000000-0000-0000-0000-000000000000}"/>
  <bookViews>
    <workbookView xWindow="-108" yWindow="-108" windowWidth="23256" windowHeight="12456" xr2:uid="{39C2D286-5A69-4D59-8AA8-B91673655954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20" i="1"/>
  <c r="F18" i="1"/>
  <c r="F17" i="1"/>
  <c r="F16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<sst xmlns="http://schemas.openxmlformats.org/spreadsheetml/2006/main" count="92" uniqueCount="35">
  <si>
    <t>Order ID</t>
  </si>
  <si>
    <t>Date</t>
  </si>
  <si>
    <t>Region</t>
  </si>
  <si>
    <t>Product</t>
  </si>
  <si>
    <t>Category</t>
  </si>
  <si>
    <t>Sales (₹)</t>
  </si>
  <si>
    <t>Quantity</t>
  </si>
  <si>
    <t>Status</t>
  </si>
  <si>
    <t>South</t>
  </si>
  <si>
    <t>Laptop</t>
  </si>
  <si>
    <t>Electronics</t>
  </si>
  <si>
    <t>Delivered</t>
  </si>
  <si>
    <t>North</t>
  </si>
  <si>
    <t>Mouse</t>
  </si>
  <si>
    <t>Accessories</t>
  </si>
  <si>
    <t>Keyboard</t>
  </si>
  <si>
    <t>Pending</t>
  </si>
  <si>
    <t>West</t>
  </si>
  <si>
    <t>Monitor</t>
  </si>
  <si>
    <t>Chair</t>
  </si>
  <si>
    <t>Furniture</t>
  </si>
  <si>
    <t>Cancelled</t>
  </si>
  <si>
    <t>Total sales</t>
  </si>
  <si>
    <t>Total Orders</t>
  </si>
  <si>
    <t>Total Quantity Sold</t>
  </si>
  <si>
    <t>Delivered Orders</t>
  </si>
  <si>
    <t>Cancelled Orders</t>
  </si>
  <si>
    <t>Total sales South region</t>
  </si>
  <si>
    <t>Total sales Electronics</t>
  </si>
  <si>
    <t>Average Sales Value Per Order</t>
  </si>
  <si>
    <t>Total sales Deliverd Orders</t>
  </si>
  <si>
    <t>Sum of Sales (₹)</t>
  </si>
  <si>
    <t>Grand Total</t>
  </si>
  <si>
    <t>Catogary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</si>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</sst>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83F6FF"/>
        <bgColor indexed="64"/>
      </patternFill>
    </fill>
    <fill>
      <patternFill patternType="solid">
        <fgColor rgb="FFF085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Font="1" applyBorder="1"/>
    <xf numFmtId="164" fontId="0" fillId="0" borderId="1" xfId="0" applyNumberFormat="1" applyFont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85FF"/>
      <color rgb="FF83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[09-10-2026.xlsx]Sheet1!PivotTable1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92403413943802"/>
          <c:y val="0.20953807899518634"/>
          <c:w val="0.60169251770664345"/>
          <c:h val="0.55818164429851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Sheet1!$J$4:$J$7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Sheet1!$K$4:$K$7</c:f>
              <c:numCache>
                <c:formatCode>General</c:formatCode>
                <c:ptCount val="3"/>
                <c:pt idx="0">
                  <c:v>68600</c:v>
                </c:pt>
                <c:pt idx="1">
                  <c:v>104400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0-43A9-8431-D0292EE4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81104"/>
        <c:axId val="134780688"/>
      </c:barChart>
      <c:catAx>
        <c:axId val="1347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0688"/>
        <c:crosses val="autoZero"/>
        <c:auto val="1"/>
        <c:lblAlgn val="ctr"/>
        <c:lblOffset val="100"/>
        <c:noMultiLvlLbl val="0"/>
      </c:catAx>
      <c:valAx>
        <c:axId val="1347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[09-10-2026.xlsx]Sheet1!PivotTable2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Sheet1!$K$12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DA-40EE-BFC9-B497970B468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A8E-49A3-8381-D380168E64E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DA-40EE-BFC9-B497970B46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Sheet1!$J$13:$J$16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Sheet1!$K$13:$K$16</c:f>
              <c:numCache>
                <c:formatCode>General</c:formatCode>
                <c:ptCount val="3"/>
                <c:pt idx="0">
                  <c:v>11500</c:v>
                </c:pt>
                <c:pt idx="1">
                  <c:v>292000</c:v>
                </c:pt>
                <c:pt idx="2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49A3-8381-D380168E64E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43707312828984"/>
          <c:y val="4.856419816681793E-2"/>
          <c:w val="0.23249801290697827"/>
          <c:h val="0.4923189235307486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[09-10-2026.xlsx]Sheet1!PivotTable3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Sheet1!$K$22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88-444C-AD60-AC47486E6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88-444C-AD60-AC47486E6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88-444C-AD60-AC47486E631E}"/>
              </c:ext>
            </c:extLst>
          </c:dPt>
          <c:cat>
            <c:strRef>
              <c:f>Sheet1!$J$23:$J$26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</c:strCache>
            </c:strRef>
          </c:cat>
          <c:val>
            <c:numRef>
              <c:f>Sheet1!$K$23:$K$26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3-419C-A37F-9D9A3789E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31697648618673"/>
          <c:y val="6.9645610442192488E-2"/>
          <c:w val="0.2082257122843417"/>
          <c:h val="0.45914526215326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333102</xdr:colOff>
      <xdr:row>0</xdr:row>
      <xdr:rowOff>0</xdr:rowOff>
    </xdr:from>
    <xdr:to>
      <xdr:col>15</xdr:col>
      <xdr:colOff>657013</xdr:colOff>
      <xdr:row>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28E14-820E-420D-8554-75F5CF2AA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353665</xdr:colOff>
      <xdr:row>9</xdr:row>
      <xdr:rowOff>121438</xdr:rowOff>
    </xdr:from>
    <xdr:to>
      <xdr:col>15</xdr:col>
      <xdr:colOff>665238</xdr:colOff>
      <xdr:row>18</xdr:row>
      <xdr:rowOff>169335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06A56-099C-4481-9EBA-3F1B59948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365760</xdr:colOff>
      <xdr:row>20</xdr:row>
      <xdr:rowOff>12097</xdr:rowOff>
    </xdr:from>
    <xdr:to>
      <xdr:col>15</xdr:col>
      <xdr:colOff>641048</xdr:colOff>
      <xdr:row>30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2E7C53-9F51-41DE-8BCA-B3B66809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 C N" refreshedDate="46304.656273379631" createdVersion="7" refreshedVersion="7" minRefreshableVersion="3" recordCount="12" xr:uid="{27393EFA-4848-4FFF-B2F7-CC1717928EB1}">
  <cacheSource type="worksheet">
    <worksheetSource ref="A1:H13" sheet="Sheet1"/>
  </cacheSource>
  <cacheFields count="8">
    <cacheField name="Order ID" numFmtId="0">
      <sharedItems containsSemiMixedTypes="0" containsString="0" containsNumber="1" containsInteger="1" minValue="1001" maxValue="1012"/>
    </cacheField>
    <cacheField name="Date" numFmtId="14">
      <sharedItems containsSemiMixedTypes="0" containsNonDate="0" containsDate="1" containsString="0" minDate="2026-10-01T00:00:00" maxDate="2026-10-13T00:00:00" count="12"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</sharedItems>
    </cacheField>
    <cacheField name="Region" numFmtId="0">
      <sharedItems count="3">
        <s v="South"/>
        <s v="North"/>
        <s v="West"/>
      </sharedItems>
    </cacheField>
    <cacheField name="Product" numFmtId="0">
      <sharedItems count="5">
        <s v="Laptop"/>
        <s v="Mouse"/>
        <s v="Keyboard"/>
        <s v="Monitor"/>
        <s v="Chair"/>
      </sharedItems>
    </cacheField>
    <cacheField name="Category" numFmtId="0">
      <sharedItems count="3">
        <s v="Electronics"/>
        <s v="Accessories"/>
        <s v="Furniture"/>
      </sharedItems>
    </cacheField>
    <cacheField name="Sales (₹)" numFmtId="0">
      <sharedItems containsSemiMixedTypes="0" containsString="0" containsNumber="1" containsInteger="1" minValue="1600" maxValue="110000" count="11">
        <n v="55000"/>
        <n v="1600"/>
        <n v="4500"/>
        <n v="24000"/>
        <n v="6500"/>
        <n v="110000"/>
        <n v="12000"/>
        <n v="2400"/>
        <n v="3000"/>
        <n v="36000"/>
        <n v="13000"/>
      </sharedItems>
    </cacheField>
    <cacheField name="Quantity" numFmtId="0">
      <sharedItems containsSemiMixedTypes="0" containsString="0" containsNumber="1" containsInteger="1" minValue="1" maxValue="3"/>
    </cacheField>
    <cacheField name="Status" numFmtId="0">
      <sharedItems count="3">
        <s v="Deliver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x v="0"/>
    <x v="0"/>
    <x v="0"/>
    <x v="0"/>
    <x v="0"/>
    <n v="1"/>
    <x v="0"/>
  </r>
  <r>
    <n v="1002"/>
    <x v="1"/>
    <x v="1"/>
    <x v="1"/>
    <x v="1"/>
    <x v="1"/>
    <n v="2"/>
    <x v="0"/>
  </r>
  <r>
    <n v="1003"/>
    <x v="2"/>
    <x v="0"/>
    <x v="2"/>
    <x v="1"/>
    <x v="2"/>
    <n v="3"/>
    <x v="1"/>
  </r>
  <r>
    <n v="1004"/>
    <x v="3"/>
    <x v="2"/>
    <x v="3"/>
    <x v="0"/>
    <x v="3"/>
    <n v="2"/>
    <x v="0"/>
  </r>
  <r>
    <n v="1005"/>
    <x v="4"/>
    <x v="0"/>
    <x v="4"/>
    <x v="2"/>
    <x v="4"/>
    <n v="1"/>
    <x v="2"/>
  </r>
  <r>
    <n v="1006"/>
    <x v="5"/>
    <x v="2"/>
    <x v="0"/>
    <x v="0"/>
    <x v="5"/>
    <n v="2"/>
    <x v="0"/>
  </r>
  <r>
    <n v="1007"/>
    <x v="6"/>
    <x v="1"/>
    <x v="3"/>
    <x v="0"/>
    <x v="6"/>
    <n v="1"/>
    <x v="1"/>
  </r>
  <r>
    <n v="1008"/>
    <x v="7"/>
    <x v="0"/>
    <x v="1"/>
    <x v="1"/>
    <x v="7"/>
    <n v="3"/>
    <x v="0"/>
  </r>
  <r>
    <n v="1009"/>
    <x v="8"/>
    <x v="2"/>
    <x v="2"/>
    <x v="1"/>
    <x v="8"/>
    <n v="2"/>
    <x v="0"/>
  </r>
  <r>
    <n v="1010"/>
    <x v="9"/>
    <x v="1"/>
    <x v="0"/>
    <x v="0"/>
    <x v="0"/>
    <n v="1"/>
    <x v="2"/>
  </r>
  <r>
    <n v="1011"/>
    <x v="10"/>
    <x v="0"/>
    <x v="3"/>
    <x v="0"/>
    <x v="9"/>
    <n v="3"/>
    <x v="0"/>
  </r>
  <r>
    <n v="1012"/>
    <x v="11"/>
    <x v="2"/>
    <x v="4"/>
    <x v="2"/>
    <x v="10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B0FD4-B09F-40A7-A5CF-FA1F527D6267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ogary">
  <location ref="E23:F29" firstHeaderRow="1" firstDataRow="1" firstDataCol="1"/>
  <pivotFields count="8"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dataField="1" showAll="0">
      <items count="12">
        <item x="1"/>
        <item x="7"/>
        <item x="8"/>
        <item x="2"/>
        <item x="4"/>
        <item x="6"/>
        <item x="10"/>
        <item x="3"/>
        <item x="9"/>
        <item x="0"/>
        <item x="5"/>
        <item t="default"/>
      </items>
    </pivotField>
    <pivotField showAll="0"/>
    <pivotField showAll="0"/>
  </pivotFields>
  <rowFields count="1">
    <field x="3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 (₹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7EE15-FBFD-4E6F-B9AE-6A92844BAC9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atogary">
  <location ref="J22:K26" firstHeaderRow="1" firstDataRow="1" firstDataCol="1"/>
  <pivotFields count="8">
    <pivotField showAll="0"/>
    <pivotField numFmtId="14" showAll="0"/>
    <pivotField showAll="0">
      <items count="4">
        <item x="1"/>
        <item x="0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dataField="1" multipleItemSelectionAllowed="1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39507-F04C-4077-972E-46C5396CE6F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atogary">
  <location ref="J12:K16" firstHeaderRow="1" firstDataRow="1" firstDataCol="1"/>
  <pivotFields count="8">
    <pivotField showAll="0"/>
    <pivotField numFmtId="14"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₹)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A4467-823E-4A40-9CD0-BB3B032BD4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egion">
  <location ref="J3:K7" firstHeaderRow="1" firstDataRow="1" firstDataCol="1"/>
  <pivotFields count="8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₹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DD55-5C56-425F-8F1F-BEDFB71CD43E}">
  <dimension ref="A1:K29"/>
  <sheetViews>
    <sheetView tabSelected="1" zoomScale="84" workbookViewId="0">
      <selection activeCell="G19" sqref="G19"/>
    </sheetView>
  </sheetViews>
  <sheetFormatPr defaultRowHeight="14.4" x14ac:dyDescent="0.3"/>
  <cols>
    <col min="1" max="1" width="8" bestFit="1" customWidth="1"/>
    <col min="2" max="2" width="18.109375" bestFit="1" customWidth="1"/>
    <col min="3" max="3" width="7.5546875" bestFit="1" customWidth="1"/>
    <col min="4" max="4" width="8.6640625" bestFit="1" customWidth="1"/>
    <col min="5" max="5" width="28.5546875" bestFit="1" customWidth="1"/>
    <col min="6" max="6" width="15.6640625" bestFit="1" customWidth="1"/>
    <col min="7" max="7" width="8.33203125" bestFit="1" customWidth="1"/>
    <col min="8" max="8" width="8.88671875" bestFit="1" customWidth="1"/>
    <col min="10" max="10" width="12.44140625" bestFit="1" customWidth="1"/>
    <col min="11" max="11" width="15.6640625" bestFit="1" customWidth="1"/>
    <col min="14" max="14" width="10.77734375" bestFit="1" customWidth="1"/>
    <col min="15" max="16" width="14.5546875" bestFit="1" customWidth="1"/>
    <col min="17" max="17" width="14.109375" bestFit="1" customWidth="1"/>
    <col min="18" max="18" width="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">
      <c r="A2" s="2">
        <v>1001</v>
      </c>
      <c r="B2" s="3">
        <v>46296</v>
      </c>
      <c r="C2" s="2" t="s">
        <v>8</v>
      </c>
      <c r="D2" s="2" t="s">
        <v>9</v>
      </c>
      <c r="E2" s="2" t="s">
        <v>10</v>
      </c>
      <c r="F2" s="2">
        <v>55000</v>
      </c>
      <c r="G2" s="2">
        <v>1</v>
      </c>
      <c r="H2" s="2" t="s">
        <v>11</v>
      </c>
    </row>
    <row r="3" spans="1:11" x14ac:dyDescent="0.3">
      <c r="A3" s="2">
        <v>1002</v>
      </c>
      <c r="B3" s="3">
        <v>46297</v>
      </c>
      <c r="C3" s="2" t="s">
        <v>12</v>
      </c>
      <c r="D3" s="2" t="s">
        <v>13</v>
      </c>
      <c r="E3" s="2" t="s">
        <v>14</v>
      </c>
      <c r="F3" s="2">
        <v>1600</v>
      </c>
      <c r="G3" s="2">
        <v>2</v>
      </c>
      <c r="H3" s="2" t="s">
        <v>11</v>
      </c>
      <c r="J3" s="6" t="s">
        <v>2</v>
      </c>
      <c r="K3" t="s">
        <v>31</v>
      </c>
    </row>
    <row r="4" spans="1:11" x14ac:dyDescent="0.3">
      <c r="A4" s="2">
        <v>1003</v>
      </c>
      <c r="B4" s="3">
        <v>46298</v>
      </c>
      <c r="C4" s="2" t="s">
        <v>8</v>
      </c>
      <c r="D4" s="2" t="s">
        <v>15</v>
      </c>
      <c r="E4" s="2" t="s">
        <v>14</v>
      </c>
      <c r="F4" s="2">
        <v>4500</v>
      </c>
      <c r="G4" s="2">
        <v>3</v>
      </c>
      <c r="H4" s="2" t="s">
        <v>16</v>
      </c>
      <c r="J4" s="7" t="s">
        <v>12</v>
      </c>
      <c r="K4" s="5">
        <v>68600</v>
      </c>
    </row>
    <row r="5" spans="1:11" x14ac:dyDescent="0.3">
      <c r="A5" s="2">
        <v>1004</v>
      </c>
      <c r="B5" s="3">
        <v>46299</v>
      </c>
      <c r="C5" s="2" t="s">
        <v>17</v>
      </c>
      <c r="D5" s="2" t="s">
        <v>18</v>
      </c>
      <c r="E5" s="2" t="s">
        <v>10</v>
      </c>
      <c r="F5" s="2">
        <v>24000</v>
      </c>
      <c r="G5" s="2">
        <v>2</v>
      </c>
      <c r="H5" s="2" t="s">
        <v>11</v>
      </c>
      <c r="J5" s="7" t="s">
        <v>8</v>
      </c>
      <c r="K5" s="5">
        <v>104400</v>
      </c>
    </row>
    <row r="6" spans="1:11" x14ac:dyDescent="0.3">
      <c r="A6" s="2">
        <v>1005</v>
      </c>
      <c r="B6" s="3">
        <v>46300</v>
      </c>
      <c r="C6" s="2" t="s">
        <v>8</v>
      </c>
      <c r="D6" s="2" t="s">
        <v>19</v>
      </c>
      <c r="E6" s="2" t="s">
        <v>20</v>
      </c>
      <c r="F6" s="2">
        <v>6500</v>
      </c>
      <c r="G6" s="2">
        <v>1</v>
      </c>
      <c r="H6" s="2" t="s">
        <v>21</v>
      </c>
      <c r="J6" s="7" t="s">
        <v>17</v>
      </c>
      <c r="K6" s="5">
        <v>150000</v>
      </c>
    </row>
    <row r="7" spans="1:11" x14ac:dyDescent="0.3">
      <c r="A7" s="2">
        <v>1006</v>
      </c>
      <c r="B7" s="3">
        <v>46301</v>
      </c>
      <c r="C7" s="2" t="s">
        <v>17</v>
      </c>
      <c r="D7" s="2" t="s">
        <v>9</v>
      </c>
      <c r="E7" s="2" t="s">
        <v>10</v>
      </c>
      <c r="F7" s="2">
        <v>110000</v>
      </c>
      <c r="G7" s="2">
        <v>2</v>
      </c>
      <c r="H7" s="2" t="s">
        <v>11</v>
      </c>
      <c r="J7" s="7" t="s">
        <v>32</v>
      </c>
      <c r="K7" s="5">
        <v>323000</v>
      </c>
    </row>
    <row r="8" spans="1:11" x14ac:dyDescent="0.3">
      <c r="A8" s="2">
        <v>1007</v>
      </c>
      <c r="B8" s="3">
        <v>46302</v>
      </c>
      <c r="C8" s="2" t="s">
        <v>12</v>
      </c>
      <c r="D8" s="2" t="s">
        <v>18</v>
      </c>
      <c r="E8" s="2" t="s">
        <v>10</v>
      </c>
      <c r="F8" s="2">
        <v>12000</v>
      </c>
      <c r="G8" s="2">
        <v>1</v>
      </c>
      <c r="H8" s="2" t="s">
        <v>16</v>
      </c>
    </row>
    <row r="9" spans="1:11" x14ac:dyDescent="0.3">
      <c r="A9" s="2">
        <v>1008</v>
      </c>
      <c r="B9" s="3">
        <v>46303</v>
      </c>
      <c r="C9" s="2" t="s">
        <v>8</v>
      </c>
      <c r="D9" s="2" t="s">
        <v>13</v>
      </c>
      <c r="E9" s="2" t="s">
        <v>14</v>
      </c>
      <c r="F9" s="2">
        <v>2400</v>
      </c>
      <c r="G9" s="2">
        <v>3</v>
      </c>
      <c r="H9" s="2" t="s">
        <v>11</v>
      </c>
    </row>
    <row r="10" spans="1:11" x14ac:dyDescent="0.3">
      <c r="A10" s="2">
        <v>1009</v>
      </c>
      <c r="B10" s="3">
        <v>46304</v>
      </c>
      <c r="C10" s="2" t="s">
        <v>17</v>
      </c>
      <c r="D10" s="2" t="s">
        <v>15</v>
      </c>
      <c r="E10" s="2" t="s">
        <v>14</v>
      </c>
      <c r="F10" s="2">
        <v>3000</v>
      </c>
      <c r="G10" s="2">
        <v>2</v>
      </c>
      <c r="H10" s="2" t="s">
        <v>11</v>
      </c>
      <c r="J10" s="4"/>
    </row>
    <row r="11" spans="1:11" x14ac:dyDescent="0.3">
      <c r="A11" s="2">
        <v>1010</v>
      </c>
      <c r="B11" s="3">
        <v>46305</v>
      </c>
      <c r="C11" s="2" t="s">
        <v>12</v>
      </c>
      <c r="D11" s="2" t="s">
        <v>9</v>
      </c>
      <c r="E11" s="2" t="s">
        <v>10</v>
      </c>
      <c r="F11" s="2">
        <v>55000</v>
      </c>
      <c r="G11" s="2">
        <v>1</v>
      </c>
      <c r="H11" s="2" t="s">
        <v>21</v>
      </c>
    </row>
    <row r="12" spans="1:11" x14ac:dyDescent="0.3">
      <c r="A12" s="2">
        <v>1011</v>
      </c>
      <c r="B12" s="3">
        <v>46306</v>
      </c>
      <c r="C12" s="2" t="s">
        <v>8</v>
      </c>
      <c r="D12" s="2" t="s">
        <v>18</v>
      </c>
      <c r="E12" s="2" t="s">
        <v>10</v>
      </c>
      <c r="F12" s="2">
        <v>36000</v>
      </c>
      <c r="G12" s="2">
        <v>3</v>
      </c>
      <c r="H12" s="2" t="s">
        <v>11</v>
      </c>
      <c r="J12" s="6" t="s">
        <v>33</v>
      </c>
      <c r="K12" t="s">
        <v>31</v>
      </c>
    </row>
    <row r="13" spans="1:11" x14ac:dyDescent="0.3">
      <c r="A13" s="2">
        <v>1012</v>
      </c>
      <c r="B13" s="3">
        <v>46307</v>
      </c>
      <c r="C13" s="2" t="s">
        <v>17</v>
      </c>
      <c r="D13" s="2" t="s">
        <v>19</v>
      </c>
      <c r="E13" s="2" t="s">
        <v>20</v>
      </c>
      <c r="F13" s="2">
        <v>13000</v>
      </c>
      <c r="G13" s="2">
        <v>2</v>
      </c>
      <c r="H13" s="2" t="s">
        <v>16</v>
      </c>
      <c r="J13" s="7" t="s">
        <v>14</v>
      </c>
      <c r="K13" s="5">
        <v>11500</v>
      </c>
    </row>
    <row r="14" spans="1:11" x14ac:dyDescent="0.3">
      <c r="J14" s="7" t="s">
        <v>10</v>
      </c>
      <c r="K14" s="5">
        <v>292000</v>
      </c>
    </row>
    <row r="15" spans="1:11" x14ac:dyDescent="0.3">
      <c r="J15" s="7" t="s">
        <v>20</v>
      </c>
      <c r="K15" s="5">
        <v>19500</v>
      </c>
    </row>
    <row r="16" spans="1:11" x14ac:dyDescent="0.3">
      <c r="B16" s="11" t="s">
        <v>22</v>
      </c>
      <c r="C16" s="8">
        <f>SUM(F2:F13)</f>
        <v>323000</v>
      </c>
      <c r="E16" s="12" t="s">
        <v>27</v>
      </c>
      <c r="F16" s="9">
        <f>SUMIF(C2:C13,C2,F2:F13)</f>
        <v>104400</v>
      </c>
      <c r="J16" s="7" t="s">
        <v>32</v>
      </c>
      <c r="K16" s="5">
        <v>323000</v>
      </c>
    </row>
    <row r="17" spans="2:11" x14ac:dyDescent="0.3">
      <c r="B17" s="11" t="s">
        <v>23</v>
      </c>
      <c r="C17" s="8">
        <f>COUNT(F2:F13)</f>
        <v>12</v>
      </c>
      <c r="E17" s="12" t="s">
        <v>28</v>
      </c>
      <c r="F17" s="9">
        <f>SUMIF(E2:E13,E2,F2:F13)</f>
        <v>292000</v>
      </c>
    </row>
    <row r="18" spans="2:11" x14ac:dyDescent="0.3">
      <c r="B18" s="11" t="s">
        <v>24</v>
      </c>
      <c r="C18" s="8">
        <f>SUM(G2:G13)</f>
        <v>23</v>
      </c>
      <c r="E18" s="12" t="s">
        <v>16</v>
      </c>
      <c r="F18" s="9">
        <f>COUNTIF(H2:H13,H8)</f>
        <v>3</v>
      </c>
    </row>
    <row r="19" spans="2:11" x14ac:dyDescent="0.3">
      <c r="B19" s="11" t="s">
        <v>25</v>
      </c>
      <c r="C19" s="8">
        <f>COUNTIF(H2:H13,H2)</f>
        <v>7</v>
      </c>
      <c r="E19" s="12" t="s">
        <v>29</v>
      </c>
      <c r="F19" s="10">
        <f>AVERAGE(F2:F13)</f>
        <v>26916.666666666668</v>
      </c>
    </row>
    <row r="20" spans="2:11" x14ac:dyDescent="0.3">
      <c r="B20" s="11" t="s">
        <v>26</v>
      </c>
      <c r="C20" s="8">
        <f>COUNTIF(H2:H13,H6)</f>
        <v>2</v>
      </c>
      <c r="E20" s="12" t="s">
        <v>30</v>
      </c>
      <c r="F20" s="9">
        <f>SUMIF(H2:H13,H2,F2:F13)</f>
        <v>232000</v>
      </c>
    </row>
    <row r="21" spans="2:11" x14ac:dyDescent="0.3">
      <c r="B21" s="4"/>
    </row>
    <row r="22" spans="2:11" x14ac:dyDescent="0.3">
      <c r="J22" s="6" t="s">
        <v>33</v>
      </c>
      <c r="K22" t="s">
        <v>34</v>
      </c>
    </row>
    <row r="23" spans="2:11" x14ac:dyDescent="0.3">
      <c r="E23" s="6" t="s">
        <v>33</v>
      </c>
      <c r="F23" t="s">
        <v>31</v>
      </c>
      <c r="J23" s="7" t="s">
        <v>21</v>
      </c>
      <c r="K23" s="5">
        <v>2</v>
      </c>
    </row>
    <row r="24" spans="2:11" x14ac:dyDescent="0.3">
      <c r="E24" s="7" t="s">
        <v>9</v>
      </c>
      <c r="F24" s="5">
        <v>220000</v>
      </c>
      <c r="J24" s="7" t="s">
        <v>11</v>
      </c>
      <c r="K24" s="5">
        <v>7</v>
      </c>
    </row>
    <row r="25" spans="2:11" x14ac:dyDescent="0.3">
      <c r="E25" s="7" t="s">
        <v>18</v>
      </c>
      <c r="F25" s="5">
        <v>72000</v>
      </c>
      <c r="J25" s="7" t="s">
        <v>16</v>
      </c>
      <c r="K25" s="5">
        <v>3</v>
      </c>
    </row>
    <row r="26" spans="2:11" x14ac:dyDescent="0.3">
      <c r="E26" s="7" t="s">
        <v>19</v>
      </c>
      <c r="F26" s="5">
        <v>19500</v>
      </c>
      <c r="J26" s="7" t="s">
        <v>32</v>
      </c>
      <c r="K26" s="5">
        <v>12</v>
      </c>
    </row>
    <row r="27" spans="2:11" x14ac:dyDescent="0.3">
      <c r="E27" s="7" t="s">
        <v>15</v>
      </c>
      <c r="F27" s="5">
        <v>7500</v>
      </c>
    </row>
    <row r="28" spans="2:11" x14ac:dyDescent="0.3">
      <c r="E28" s="7" t="s">
        <v>13</v>
      </c>
      <c r="F28" s="5">
        <v>4000</v>
      </c>
    </row>
    <row r="29" spans="2:11" x14ac:dyDescent="0.3">
      <c r="E29" s="7" t="s">
        <v>32</v>
      </c>
      <c r="F29" s="5">
        <v>323000</v>
      </c>
    </row>
  </sheetData>
  <conditionalFormatting sqref="A16:A1048576 A1:A13">
    <cfRule type="duplicateValues" dxfId="0" priority="1"/>
  </conditionalFormatting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C N</dc:creator>
  <cp:lastModifiedBy>Shreyas C N</cp:lastModifiedBy>
  <dcterms:created xsi:type="dcterms:W3CDTF">2026-10-09T09:53:13Z</dcterms:created>
  <dcterms:modified xsi:type="dcterms:W3CDTF">2026-10-09T16:13:31Z</dcterms:modified>
</cp:coreProperties>
</file>